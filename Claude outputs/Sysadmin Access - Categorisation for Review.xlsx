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his was categorised" sheetId="1" state="visible" r:id="rId3"/>
    <sheet name="Accounts" sheetId="2" state="visible" r:id="rId4"/>
  </sheets>
  <definedNames>
    <definedName function="false" hidden="true" localSheetId="1" name="_xlnm._FilterDatabase" vbProcedure="false">Accounts!$A$1:$H$65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<sst xmlns="http://schemas.openxmlformats.org/spreadsheetml/2006/main" count="456" uniqueCount="170">
  <si>
    <t xml:space="preserve">How each account was categorised</t>
  </si>
  <si>
    <t xml:space="preserve">IMPORTANT: these categories were inferred from the account NAME only. SQL Server does not record whether a login belongs to a person or to an application, so there is no authoritative source for this. Every row below is a guess based on the naming rules in the table. Please correct them on the "Accounts" tab - the yellow column is for your answer.</t>
  </si>
  <si>
    <t xml:space="preserve">Order</t>
  </si>
  <si>
    <t xml:space="preserve">Rule applied to the account name</t>
  </si>
  <si>
    <t xml:space="preserve">Resulting category</t>
  </si>
  <si>
    <t xml:space="preserve">How confident</t>
  </si>
  <si>
    <t xml:space="preserve">Why this confidence</t>
  </si>
  <si>
    <t xml:space="preserve">The text before the backslash is the SERVER name, not a domain</t>
  </si>
  <si>
    <t xml:space="preserve">Local machine account</t>
  </si>
  <si>
    <t xml:space="preserve">High</t>
  </si>
  <si>
    <t xml:space="preserve">This one is factual, not a guess - the account is local to the machine.</t>
  </si>
  <si>
    <t xml:space="preserve">Name contains "sqlmon"</t>
  </si>
  <si>
    <t xml:space="preserve">Service / application</t>
  </si>
  <si>
    <t xml:space="preserve">Name contains "sqlde"</t>
  </si>
  <si>
    <t xml:space="preserve">Medium</t>
  </si>
  <si>
    <t xml:space="preserve">Assumed a SQL "data engine"/deployment account - please confirm.</t>
  </si>
  <si>
    <t xml:space="preserve">Name contains "sqlrs"</t>
  </si>
  <si>
    <t xml:space="preserve">Assumed SQL Reporting Services.</t>
  </si>
  <si>
    <t xml:space="preserve">Name starts "rda"/"rla"/"rsa"</t>
  </si>
  <si>
    <t xml:space="preserve">Low</t>
  </si>
  <si>
    <t xml:space="preserve">Guessed from the pattern only - I do not know what these prefixes stand for at Charles Taylor.</t>
  </si>
  <si>
    <t xml:space="preserve">Name contains "proxy"</t>
  </si>
  <si>
    <t xml:space="preserve">Name contains "report"</t>
  </si>
  <si>
    <t xml:space="preserve">CMAReport looks like a reporting service, but could be a person or a shared mailbox.</t>
  </si>
  <si>
    <t xml:space="preserve">Name contains "service"</t>
  </si>
  <si>
    <t xml:space="preserve">Name contains "automation"</t>
  </si>
  <si>
    <t xml:space="preserve">Name starts "s" then a server-style code</t>
  </si>
  <si>
    <t xml:space="preserve">Guessed - looks like "s" + a server name, but could be a person.</t>
  </si>
  <si>
    <t xml:space="preserve">Name contains "monitor"</t>
  </si>
  <si>
    <t xml:space="preserve">Name starts "sa." / "dv." / "DB."</t>
  </si>
  <si>
    <t xml:space="preserve">Person - privileged account</t>
  </si>
  <si>
    <t xml:space="preserve">Assumes these mark a privileged account. "dv." might mean "developer" instead - please confirm.</t>
  </si>
  <si>
    <t xml:space="preserve">No service keyword and no sa./dv./DB. prefix</t>
  </si>
  <si>
    <t xml:space="preserve">Person - normal account</t>
  </si>
  <si>
    <t xml:space="preserve">Default when nothing else matched - these look like first.last staff names.</t>
  </si>
  <si>
    <t xml:space="preserve">Counts by category (live formulas over the Accounts tab)</t>
  </si>
  <si>
    <t xml:space="preserve">Category</t>
  </si>
  <si>
    <t xml:space="preserve">Grants</t>
  </si>
  <si>
    <t xml:space="preserve">Distinct accounts</t>
  </si>
  <si>
    <t xml:space="preserve">Total</t>
  </si>
  <si>
    <t xml:space="preserve">Server</t>
  </si>
  <si>
    <t xml:space="preserve">Account</t>
  </si>
  <si>
    <t xml:space="preserve">My category (inferred)</t>
  </si>
  <si>
    <t xml:space="preserve">Category used in counts</t>
  </si>
  <si>
    <t xml:space="preserve">Rule that matched</t>
  </si>
  <si>
    <t xml:space="preserve">Confidence</t>
  </si>
  <si>
    <t xml:space="preserve">YOUR CORRECTION</t>
  </si>
  <si>
    <t xml:space="preserve">Granted on</t>
  </si>
  <si>
    <t xml:space="preserve">CTDTRX01VMSQL01</t>
  </si>
  <si>
    <t xml:space="preserve">CTDTRX01VMSQL01\ctlayla</t>
  </si>
  <si>
    <t xml:space="preserve">2022-05-24 14:36</t>
  </si>
  <si>
    <t xml:space="preserve">CTPCTA04VMSQL01</t>
  </si>
  <si>
    <t xml:space="preserve">CTPCTA04VMSQL01\CTLayla</t>
  </si>
  <si>
    <t xml:space="preserve">2019-02-19 16:30</t>
  </si>
  <si>
    <t xml:space="preserve">CTPCTA04VMSQL02</t>
  </si>
  <si>
    <t xml:space="preserve">CTPCTA04VMSQL02\CTLayla</t>
  </si>
  <si>
    <t xml:space="preserve">2019-02-19 16:37</t>
  </si>
  <si>
    <t xml:space="preserve">CTUCTA03VMSQL01</t>
  </si>
  <si>
    <t xml:space="preserve">CTUCTA03VMSQL01\CTLayla</t>
  </si>
  <si>
    <t xml:space="preserve">2019-02-20 14:27</t>
  </si>
  <si>
    <t xml:space="preserve">CTUCTA03VMSQL02</t>
  </si>
  <si>
    <t xml:space="preserve">CTUCTA03VMSQL02\CTLayla</t>
  </si>
  <si>
    <t xml:space="preserve">2019-02-20 15:07</t>
  </si>
  <si>
    <t xml:space="preserve">CTCPLC\Graham.Cockram</t>
  </si>
  <si>
    <t xml:space="preserve">2024-06-12 14:42</t>
  </si>
  <si>
    <t xml:space="preserve">CTPTRX01VMSQL01</t>
  </si>
  <si>
    <t xml:space="preserve">2022-08-10 14:23</t>
  </si>
  <si>
    <t xml:space="preserve">2024-06-04 15:03</t>
  </si>
  <si>
    <t xml:space="preserve">CTCPLC\jason.thomas</t>
  </si>
  <si>
    <t xml:space="preserve">2023-06-06 16:12</t>
  </si>
  <si>
    <t xml:space="preserve">CTPEAW01VMSQL01</t>
  </si>
  <si>
    <t xml:space="preserve">2023-04-17 15:10</t>
  </si>
  <si>
    <t xml:space="preserve">CTUCMA01VMSQL02</t>
  </si>
  <si>
    <t xml:space="preserve">2023-07-19 09:18</t>
  </si>
  <si>
    <t xml:space="preserve">2023-07-19 09:55</t>
  </si>
  <si>
    <t xml:space="preserve">CTDCTA01SQL02</t>
  </si>
  <si>
    <t xml:space="preserve">CTCPLC\Marcin.Zacierka</t>
  </si>
  <si>
    <t xml:space="preserve">2023-07-28 15:36</t>
  </si>
  <si>
    <t xml:space="preserve">ctpcta01sql01</t>
  </si>
  <si>
    <t xml:space="preserve">2023-08-31 15:26</t>
  </si>
  <si>
    <t xml:space="preserve">CTDCTA01SQL01</t>
  </si>
  <si>
    <t xml:space="preserve">CTCPLC\matthew.richardson</t>
  </si>
  <si>
    <t xml:space="preserve">2023-01-19 10:23</t>
  </si>
  <si>
    <t xml:space="preserve">2022-02-15 11:45</t>
  </si>
  <si>
    <t xml:space="preserve">CTCPLC\Neil.Lawrence</t>
  </si>
  <si>
    <t xml:space="preserve">2020-06-10 12:38</t>
  </si>
  <si>
    <t xml:space="preserve">itdshd01vmsql01</t>
  </si>
  <si>
    <t xml:space="preserve">CTCPLC\Peter.Varghese</t>
  </si>
  <si>
    <t xml:space="preserve">2021-05-21 13:34</t>
  </si>
  <si>
    <t xml:space="preserve">CTPCTA04VMSQL03</t>
  </si>
  <si>
    <t xml:space="preserve">CTCPLC\Thomas.Deloford</t>
  </si>
  <si>
    <t xml:space="preserve">2023-10-06 14:58</t>
  </si>
  <si>
    <t xml:space="preserve">2020-09-03 17:23</t>
  </si>
  <si>
    <t xml:space="preserve">CTCPLC\Tomasz.Przybylo</t>
  </si>
  <si>
    <t xml:space="preserve">2025-06-27 16:07</t>
  </si>
  <si>
    <t xml:space="preserve">2025-07-01 17:05</t>
  </si>
  <si>
    <t xml:space="preserve">CTCPLC\DB.Devanand.Dhasarat</t>
  </si>
  <si>
    <t xml:space="preserve">2024-11-13 08:53</t>
  </si>
  <si>
    <t xml:space="preserve">CTCPLC\dv.Graham.Cockram</t>
  </si>
  <si>
    <t xml:space="preserve">2022-06-22 14:55</t>
  </si>
  <si>
    <t xml:space="preserve">CTCPLC\dv.graham.cockram</t>
  </si>
  <si>
    <t xml:space="preserve">2022-08-12 15:01</t>
  </si>
  <si>
    <t xml:space="preserve">ctcplc\sa.thomas.deloford</t>
  </si>
  <si>
    <t xml:space="preserve">2023-09-08 15:37</t>
  </si>
  <si>
    <t xml:space="preserve">CTCPLC\sa.Victor.Linares</t>
  </si>
  <si>
    <t xml:space="preserve">2021-05-17 10:15</t>
  </si>
  <si>
    <t xml:space="preserve">2023-07-19 09:17</t>
  </si>
  <si>
    <t xml:space="preserve">2021-05-11 15:25</t>
  </si>
  <si>
    <t xml:space="preserve">CTINSURETECH\dv.peter.varghese</t>
  </si>
  <si>
    <t xml:space="preserve">2017-11-10 11:25</t>
  </si>
  <si>
    <t xml:space="preserve">CTINSURETECH\dv.Subba.Nanduri</t>
  </si>
  <si>
    <t xml:space="preserve">2017-12-11 11:43</t>
  </si>
  <si>
    <t xml:space="preserve">ctinsuretech\SA.Akash.K</t>
  </si>
  <si>
    <t xml:space="preserve">2025-05-07 11:22</t>
  </si>
  <si>
    <t xml:space="preserve">CTINSURETECH\SA.SOMA.sc</t>
  </si>
  <si>
    <t xml:space="preserve">2025-05-07 14:12</t>
  </si>
  <si>
    <t xml:space="preserve">CTCPLC\CMAReport</t>
  </si>
  <si>
    <t xml:space="preserve">2023-03-21 12:09</t>
  </si>
  <si>
    <t xml:space="preserve">CTCPLC\CTAETLProxy_NonProd</t>
  </si>
  <si>
    <t xml:space="preserve">2021-01-28 16:27</t>
  </si>
  <si>
    <t xml:space="preserve">2021-01-28 16:29</t>
  </si>
  <si>
    <t xml:space="preserve">CTCPLC\rdaCTUCTA03VMSQL01</t>
  </si>
  <si>
    <t xml:space="preserve">2020-03-02 12:36</t>
  </si>
  <si>
    <t xml:space="preserve">ITPINF13VMSQL01</t>
  </si>
  <si>
    <t xml:space="preserve">CTCPLC\rgmonitorservice</t>
  </si>
  <si>
    <t xml:space="preserve">2025-01-07 14:00</t>
  </si>
  <si>
    <t xml:space="preserve">CTCPLC\rlaCTUCTA03VMSQL01</t>
  </si>
  <si>
    <t xml:space="preserve">2020-03-02 12:43</t>
  </si>
  <si>
    <t xml:space="preserve">CTCPLC\rsaCTUCTA03VMSQL01</t>
  </si>
  <si>
    <t xml:space="preserve">CTCPLC\sqldeCTPCTA04VMSQL01</t>
  </si>
  <si>
    <t xml:space="preserve">2024-09-12 20:19</t>
  </si>
  <si>
    <t xml:space="preserve">ctcplc\sqldeCTUCMA01VMSQL02</t>
  </si>
  <si>
    <t xml:space="preserve">2022-09-22 15:46</t>
  </si>
  <si>
    <t xml:space="preserve">CTCPLC\sqldeCTUCTA03VMSQL01</t>
  </si>
  <si>
    <t xml:space="preserve">2024-10-30 17:07</t>
  </si>
  <si>
    <t xml:space="preserve">CTCPLC\SQLMonCTPCTA01SQL01</t>
  </si>
  <si>
    <t xml:space="preserve">2021-03-09 12:21</t>
  </si>
  <si>
    <t xml:space="preserve">CTCPLC\SQLMonCTPEAW01VMSQL</t>
  </si>
  <si>
    <t xml:space="preserve">2021-03-11 14:52</t>
  </si>
  <si>
    <t xml:space="preserve">CTCPLC\SQLMonitorCMALis01</t>
  </si>
  <si>
    <t xml:space="preserve">2025-01-03 15:24</t>
  </si>
  <si>
    <t xml:space="preserve">2023-05-15 13:45</t>
  </si>
  <si>
    <t xml:space="preserve">ctpags11vmsql02</t>
  </si>
  <si>
    <t xml:space="preserve">CTCPLC\SqlmonitorCTPAGS01</t>
  </si>
  <si>
    <t xml:space="preserve">2022-06-07 05:04</t>
  </si>
  <si>
    <t xml:space="preserve">CTCPLC\SQLMonitorCTPCMA04</t>
  </si>
  <si>
    <t xml:space="preserve">2019-09-11 15:07</t>
  </si>
  <si>
    <t xml:space="preserve">2024-09-02 14:40</t>
  </si>
  <si>
    <t xml:space="preserve">2024-09-02 13:40</t>
  </si>
  <si>
    <t xml:space="preserve">CTPFIN01VMSQL01</t>
  </si>
  <si>
    <t xml:space="preserve">CTCPLC\sqlmonitorctpinf01</t>
  </si>
  <si>
    <t xml:space="preserve">2020-10-05 11:56</t>
  </si>
  <si>
    <t xml:space="preserve">CTCPLC\SqlmonitorCTPTRX01</t>
  </si>
  <si>
    <t xml:space="preserve">2022-09-28 17:00</t>
  </si>
  <si>
    <t xml:space="preserve">CTCPLC\sqlrsCTPCTA04VMSQL01</t>
  </si>
  <si>
    <t xml:space="preserve">2019-03-11 14:17</t>
  </si>
  <si>
    <t xml:space="preserve">2019-03-11 15:00</t>
  </si>
  <si>
    <t xml:space="preserve">CTCPLC\sSQLAdminAutomation</t>
  </si>
  <si>
    <t xml:space="preserve">2025-02-05 16:47</t>
  </si>
  <si>
    <t xml:space="preserve">CTINSURETECH\rgmonitorservice</t>
  </si>
  <si>
    <t xml:space="preserve">2023-07-13 10:45</t>
  </si>
  <si>
    <t xml:space="preserve">CTINSURETECH\sITDCOG02VMIIS01</t>
  </si>
  <si>
    <t xml:space="preserve">2017-09-15 15:12</t>
  </si>
  <si>
    <t xml:space="preserve">CTINSURETECH\sITDTST02VMKWC01kc</t>
  </si>
  <si>
    <t xml:space="preserve">2018-10-31 16:36</t>
  </si>
  <si>
    <t xml:space="preserve">CTINSURETECH\SQLMonITPINF13VM01</t>
  </si>
  <si>
    <t xml:space="preserve">2023-07-20 12:48</t>
  </si>
  <si>
    <t xml:space="preserve">2023-07-19 12:57</t>
  </si>
  <si>
    <t xml:space="preserve">2023-07-19 11:31</t>
  </si>
  <si>
    <t xml:space="preserve">Fill in the yellow column only. Leave it blank to accept my category. The "Category used in counts" column and the totals on the first tab update automatically.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</si>
</sst>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7FA"/>
        <bgColor rgb="FFFFFFFF"/>
      </patternFill>
    </fill>
    <fill>
      <patternFill patternType="solid">
        <fgColor rgb="FFFFF7D6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F4F7FA"/>
      <rgbColor rgb="FF660066"/>
      <rgbColor rgb="FFFF8080"/>
      <rgbColor rgb="FF0066CC"/>
      <rgbColor rgb="FFD7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2"/>
      <c r="B5" s="2"/>
      <c r="C5" s="2"/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8" customFormat="false" ht="30" hidden="false" customHeight="true" outlineLevel="0" collapsed="false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</row>
    <row r="9" customFormat="false" ht="15" hidden="false" customHeight="false" outlineLevel="0" collapsed="false">
      <c r="A9" s="4" t="n">
        <v>1</v>
      </c>
      <c r="B9" s="4" t="s">
        <v>7</v>
      </c>
      <c r="C9" s="5" t="s">
        <v>8</v>
      </c>
      <c r="D9" s="5" t="s">
        <v>9</v>
      </c>
      <c r="E9" s="4" t="s">
        <v>10</v>
      </c>
    </row>
    <row r="10" customFormat="false" ht="15" hidden="false" customHeight="false" outlineLevel="0" collapsed="false">
      <c r="A10" s="6" t="n">
        <v>2</v>
      </c>
      <c r="B10" s="6" t="s">
        <v>11</v>
      </c>
      <c r="C10" s="7" t="s">
        <v>12</v>
      </c>
      <c r="D10" s="7" t="s">
        <v>9</v>
      </c>
      <c r="E10" s="6"/>
    </row>
    <row r="11" customFormat="false" ht="15" hidden="false" customHeight="false" outlineLevel="0" collapsed="false">
      <c r="A11" s="4" t="n">
        <v>3</v>
      </c>
      <c r="B11" s="4" t="s">
        <v>13</v>
      </c>
      <c r="C11" s="5" t="s">
        <v>12</v>
      </c>
      <c r="D11" s="5" t="s">
        <v>14</v>
      </c>
      <c r="E11" s="4" t="s">
        <v>15</v>
      </c>
    </row>
    <row r="12" customFormat="false" ht="15" hidden="false" customHeight="false" outlineLevel="0" collapsed="false">
      <c r="A12" s="6" t="n">
        <v>4</v>
      </c>
      <c r="B12" s="6" t="s">
        <v>16</v>
      </c>
      <c r="C12" s="7" t="s">
        <v>12</v>
      </c>
      <c r="D12" s="7" t="s">
        <v>14</v>
      </c>
      <c r="E12" s="6" t="s">
        <v>17</v>
      </c>
    </row>
    <row r="13" customFormat="false" ht="15" hidden="false" customHeight="false" outlineLevel="0" collapsed="false">
      <c r="A13" s="4" t="n">
        <v>5</v>
      </c>
      <c r="B13" s="4" t="s">
        <v>18</v>
      </c>
      <c r="C13" s="5" t="s">
        <v>12</v>
      </c>
      <c r="D13" s="5" t="s">
        <v>19</v>
      </c>
      <c r="E13" s="4" t="s">
        <v>20</v>
      </c>
    </row>
    <row r="14" customFormat="false" ht="15" hidden="false" customHeight="false" outlineLevel="0" collapsed="false">
      <c r="A14" s="6" t="n">
        <v>6</v>
      </c>
      <c r="B14" s="6" t="s">
        <v>21</v>
      </c>
      <c r="C14" s="7" t="s">
        <v>12</v>
      </c>
      <c r="D14" s="7" t="s">
        <v>9</v>
      </c>
      <c r="E14" s="6"/>
    </row>
    <row r="15" customFormat="false" ht="15" hidden="false" customHeight="false" outlineLevel="0" collapsed="false">
      <c r="A15" s="4" t="n">
        <v>7</v>
      </c>
      <c r="B15" s="4" t="s">
        <v>22</v>
      </c>
      <c r="C15" s="5" t="s">
        <v>12</v>
      </c>
      <c r="D15" s="5" t="s">
        <v>14</v>
      </c>
      <c r="E15" s="4" t="s">
        <v>23</v>
      </c>
    </row>
    <row r="16" customFormat="false" ht="15" hidden="false" customHeight="false" outlineLevel="0" collapsed="false">
      <c r="A16" s="6" t="n">
        <v>8</v>
      </c>
      <c r="B16" s="6" t="s">
        <v>24</v>
      </c>
      <c r="C16" s="7" t="s">
        <v>12</v>
      </c>
      <c r="D16" s="7" t="s">
        <v>9</v>
      </c>
      <c r="E16" s="6"/>
    </row>
    <row r="17" customFormat="false" ht="15" hidden="false" customHeight="false" outlineLevel="0" collapsed="false">
      <c r="A17" s="4" t="n">
        <v>9</v>
      </c>
      <c r="B17" s="4" t="s">
        <v>25</v>
      </c>
      <c r="C17" s="5" t="s">
        <v>12</v>
      </c>
      <c r="D17" s="5" t="s">
        <v>9</v>
      </c>
      <c r="E17" s="4"/>
    </row>
    <row r="18" customFormat="false" ht="15" hidden="false" customHeight="false" outlineLevel="0" collapsed="false">
      <c r="A18" s="6" t="n">
        <v>10</v>
      </c>
      <c r="B18" s="6" t="s">
        <v>26</v>
      </c>
      <c r="C18" s="7" t="s">
        <v>12</v>
      </c>
      <c r="D18" s="7" t="s">
        <v>19</v>
      </c>
      <c r="E18" s="6" t="s">
        <v>27</v>
      </c>
    </row>
    <row r="19" customFormat="false" ht="15" hidden="false" customHeight="false" outlineLevel="0" collapsed="false">
      <c r="A19" s="4" t="n">
        <v>11</v>
      </c>
      <c r="B19" s="4" t="s">
        <v>28</v>
      </c>
      <c r="C19" s="5" t="s">
        <v>12</v>
      </c>
      <c r="D19" s="5" t="s">
        <v>9</v>
      </c>
      <c r="E19" s="4"/>
    </row>
    <row r="20" customFormat="false" ht="15" hidden="false" customHeight="false" outlineLevel="0" collapsed="false">
      <c r="A20" s="6" t="n">
        <v>12</v>
      </c>
      <c r="B20" s="6" t="s">
        <v>29</v>
      </c>
      <c r="C20" s="7" t="s">
        <v>30</v>
      </c>
      <c r="D20" s="7" t="s">
        <v>14</v>
      </c>
      <c r="E20" s="6" t="s">
        <v>31</v>
      </c>
    </row>
    <row r="21" customFormat="false" ht="15" hidden="false" customHeight="false" outlineLevel="0" collapsed="false">
      <c r="A21" s="4" t="n">
        <v>13</v>
      </c>
      <c r="B21" s="4" t="s">
        <v>32</v>
      </c>
      <c r="C21" s="5" t="s">
        <v>33</v>
      </c>
      <c r="D21" s="5" t="s">
        <v>14</v>
      </c>
      <c r="E21" s="4" t="s">
        <v>34</v>
      </c>
    </row>
    <row r="23" customFormat="false" ht="15" hidden="false" customHeight="false" outlineLevel="0" collapsed="false">
      <c r="A23" s="8" t="s">
        <v>35</v>
      </c>
    </row>
    <row r="24" customFormat="false" ht="30" hidden="false" customHeight="true" outlineLevel="0" collapsed="false">
      <c r="A24" s="3"/>
      <c r="B24" s="3" t="s">
        <v>36</v>
      </c>
      <c r="C24" s="3" t="s">
        <v>37</v>
      </c>
      <c r="D24" s="3" t="s">
        <v>38</v>
      </c>
      <c r="E24" s="3"/>
    </row>
    <row r="25" customFormat="false" ht="15" hidden="false" customHeight="false" outlineLevel="0" collapsed="false">
      <c r="A25" s="6"/>
      <c r="B25" s="6" t="s">
        <v>12</v>
      </c>
      <c r="C25" s="7" t="n">
        <f aca="false">COUNTIF(Accounts!$D$2:$D$65,$B25)</f>
        <v>30</v>
      </c>
      <c r="D25" s="7"/>
      <c r="E25" s="6"/>
    </row>
    <row r="26" customFormat="false" ht="15" hidden="false" customHeight="false" outlineLevel="0" collapsed="false">
      <c r="A26" s="4"/>
      <c r="B26" s="4" t="s">
        <v>33</v>
      </c>
      <c r="C26" s="5" t="n">
        <f aca="false">COUNTIF(Accounts!$D$2:$D$65,$B26)</f>
        <v>18</v>
      </c>
      <c r="D26" s="5"/>
      <c r="E26" s="4"/>
    </row>
    <row r="27" customFormat="false" ht="15" hidden="false" customHeight="false" outlineLevel="0" collapsed="false">
      <c r="A27" s="6"/>
      <c r="B27" s="6" t="s">
        <v>30</v>
      </c>
      <c r="C27" s="7" t="n">
        <f aca="false">COUNTIF(Accounts!$D$2:$D$65,$B27)</f>
        <v>11</v>
      </c>
      <c r="D27" s="7"/>
      <c r="E27" s="6"/>
    </row>
    <row r="28" customFormat="false" ht="15" hidden="false" customHeight="false" outlineLevel="0" collapsed="false">
      <c r="A28" s="4"/>
      <c r="B28" s="4" t="s">
        <v>8</v>
      </c>
      <c r="C28" s="5" t="n">
        <f aca="false">COUNTIF(Accounts!$D$2:$D$65,$B28)</f>
        <v>5</v>
      </c>
      <c r="D28" s="5"/>
      <c r="E28" s="4"/>
    </row>
    <row r="29" customFormat="false" ht="15" hidden="false" customHeight="false" outlineLevel="0" collapsed="false">
      <c r="A29" s="4"/>
      <c r="B29" s="9" t="s">
        <v>39</v>
      </c>
      <c r="C29" s="10" t="n">
        <f aca="false">SUM(C25:C28)</f>
        <v>64</v>
      </c>
      <c r="D29" s="5"/>
      <c r="E29" s="4"/>
    </row>
  </sheetData>
  <mergeCells count="1">
    <mergeCell ref="A3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26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30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</row>
    <row r="2" customFormat="false" ht="15" hidden="false" customHeight="false" outlineLevel="0" collapsed="false">
      <c r="A2" s="6" t="s">
        <v>48</v>
      </c>
      <c r="B2" s="6" t="s">
        <v>49</v>
      </c>
      <c r="C2" s="7" t="s">
        <v>8</v>
      </c>
      <c r="D2" s="7" t="str">
        <f aca="false">IF(OR($G2="",$G2="Not sure"),$C2,$G2)</f>
        <v>Local machine account</v>
      </c>
      <c r="E2" s="6" t="s">
        <v>7</v>
      </c>
      <c r="F2" s="6" t="s">
        <v>9</v>
      </c>
      <c r="G2" s="11"/>
      <c r="H2" s="6" t="s">
        <v>50</v>
      </c>
    </row>
    <row r="3" customFormat="false" ht="15" hidden="false" customHeight="false" outlineLevel="0" collapsed="false">
      <c r="A3" s="4" t="s">
        <v>51</v>
      </c>
      <c r="B3" s="4" t="s">
        <v>52</v>
      </c>
      <c r="C3" s="5" t="s">
        <v>8</v>
      </c>
      <c r="D3" s="5" t="str">
        <f aca="false">IF(OR($G3="",$G3="Not sure"),$C3,$G3)</f>
        <v>Local machine account</v>
      </c>
      <c r="E3" s="4" t="s">
        <v>7</v>
      </c>
      <c r="F3" s="4" t="s">
        <v>9</v>
      </c>
      <c r="G3" s="11"/>
      <c r="H3" s="4" t="s">
        <v>53</v>
      </c>
    </row>
    <row r="4" customFormat="false" ht="15" hidden="false" customHeight="false" outlineLevel="0" collapsed="false">
      <c r="A4" s="6" t="s">
        <v>54</v>
      </c>
      <c r="B4" s="6" t="s">
        <v>55</v>
      </c>
      <c r="C4" s="7" t="s">
        <v>8</v>
      </c>
      <c r="D4" s="7" t="str">
        <f aca="false">IF(OR($G4="",$G4="Not sure"),$C4,$G4)</f>
        <v>Local machine account</v>
      </c>
      <c r="E4" s="6" t="s">
        <v>7</v>
      </c>
      <c r="F4" s="6" t="s">
        <v>9</v>
      </c>
      <c r="G4" s="11"/>
      <c r="H4" s="6" t="s">
        <v>56</v>
      </c>
    </row>
    <row r="5" customFormat="false" ht="15" hidden="false" customHeight="false" outlineLevel="0" collapsed="false">
      <c r="A5" s="4" t="s">
        <v>57</v>
      </c>
      <c r="B5" s="4" t="s">
        <v>58</v>
      </c>
      <c r="C5" s="5" t="s">
        <v>8</v>
      </c>
      <c r="D5" s="5" t="str">
        <f aca="false">IF(OR($G5="",$G5="Not sure"),$C5,$G5)</f>
        <v>Local machine account</v>
      </c>
      <c r="E5" s="4" t="s">
        <v>7</v>
      </c>
      <c r="F5" s="4" t="s">
        <v>9</v>
      </c>
      <c r="G5" s="11"/>
      <c r="H5" s="4" t="s">
        <v>59</v>
      </c>
    </row>
    <row r="6" customFormat="false" ht="15" hidden="false" customHeight="false" outlineLevel="0" collapsed="false">
      <c r="A6" s="6" t="s">
        <v>60</v>
      </c>
      <c r="B6" s="6" t="s">
        <v>61</v>
      </c>
      <c r="C6" s="7" t="s">
        <v>8</v>
      </c>
      <c r="D6" s="7" t="str">
        <f aca="false">IF(OR($G6="",$G6="Not sure"),$C6,$G6)</f>
        <v>Local machine account</v>
      </c>
      <c r="E6" s="6" t="s">
        <v>7</v>
      </c>
      <c r="F6" s="6" t="s">
        <v>9</v>
      </c>
      <c r="G6" s="11"/>
      <c r="H6" s="6" t="s">
        <v>62</v>
      </c>
    </row>
    <row r="7" customFormat="false" ht="15" hidden="false" customHeight="false" outlineLevel="0" collapsed="false">
      <c r="A7" s="4" t="s">
        <v>48</v>
      </c>
      <c r="B7" s="4" t="s">
        <v>63</v>
      </c>
      <c r="C7" s="5" t="s">
        <v>33</v>
      </c>
      <c r="D7" s="5" t="str">
        <f aca="false">IF(OR($G7="",$G7="Not sure"),$C7,$G7)</f>
        <v>Person - normal account</v>
      </c>
      <c r="E7" s="4" t="s">
        <v>32</v>
      </c>
      <c r="F7" s="4" t="s">
        <v>14</v>
      </c>
      <c r="G7" s="11"/>
      <c r="H7" s="4" t="s">
        <v>64</v>
      </c>
    </row>
    <row r="8" customFormat="false" ht="15" hidden="false" customHeight="false" outlineLevel="0" collapsed="false">
      <c r="A8" s="6" t="s">
        <v>65</v>
      </c>
      <c r="B8" s="6" t="s">
        <v>63</v>
      </c>
      <c r="C8" s="7" t="s">
        <v>33</v>
      </c>
      <c r="D8" s="7" t="str">
        <f aca="false">IF(OR($G8="",$G8="Not sure"),$C8,$G8)</f>
        <v>Person - normal account</v>
      </c>
      <c r="E8" s="6" t="s">
        <v>32</v>
      </c>
      <c r="F8" s="6" t="s">
        <v>14</v>
      </c>
      <c r="G8" s="11"/>
      <c r="H8" s="6" t="s">
        <v>66</v>
      </c>
    </row>
    <row r="9" customFormat="false" ht="15" hidden="false" customHeight="false" outlineLevel="0" collapsed="false">
      <c r="A9" s="4" t="s">
        <v>60</v>
      </c>
      <c r="B9" s="4" t="s">
        <v>63</v>
      </c>
      <c r="C9" s="5" t="s">
        <v>33</v>
      </c>
      <c r="D9" s="5" t="str">
        <f aca="false">IF(OR($G9="",$G9="Not sure"),$C9,$G9)</f>
        <v>Person - normal account</v>
      </c>
      <c r="E9" s="4" t="s">
        <v>32</v>
      </c>
      <c r="F9" s="4" t="s">
        <v>14</v>
      </c>
      <c r="G9" s="11"/>
      <c r="H9" s="4" t="s">
        <v>67</v>
      </c>
    </row>
    <row r="10" customFormat="false" ht="15" hidden="false" customHeight="false" outlineLevel="0" collapsed="false">
      <c r="A10" s="6" t="s">
        <v>54</v>
      </c>
      <c r="B10" s="6" t="s">
        <v>68</v>
      </c>
      <c r="C10" s="7" t="s">
        <v>33</v>
      </c>
      <c r="D10" s="7" t="str">
        <f aca="false">IF(OR($G10="",$G10="Not sure"),$C10,$G10)</f>
        <v>Person - normal account</v>
      </c>
      <c r="E10" s="6" t="s">
        <v>32</v>
      </c>
      <c r="F10" s="6" t="s">
        <v>14</v>
      </c>
      <c r="G10" s="11"/>
      <c r="H10" s="6" t="s">
        <v>69</v>
      </c>
    </row>
    <row r="11" customFormat="false" ht="15" hidden="false" customHeight="false" outlineLevel="0" collapsed="false">
      <c r="A11" s="4" t="s">
        <v>70</v>
      </c>
      <c r="B11" s="4" t="s">
        <v>68</v>
      </c>
      <c r="C11" s="5" t="s">
        <v>33</v>
      </c>
      <c r="D11" s="5" t="str">
        <f aca="false">IF(OR($G11="",$G11="Not sure"),$C11,$G11)</f>
        <v>Person - normal account</v>
      </c>
      <c r="E11" s="4" t="s">
        <v>32</v>
      </c>
      <c r="F11" s="4" t="s">
        <v>14</v>
      </c>
      <c r="G11" s="11"/>
      <c r="H11" s="4" t="s">
        <v>71</v>
      </c>
    </row>
    <row r="12" customFormat="false" ht="15" hidden="false" customHeight="false" outlineLevel="0" collapsed="false">
      <c r="A12" s="6" t="s">
        <v>72</v>
      </c>
      <c r="B12" s="6" t="s">
        <v>68</v>
      </c>
      <c r="C12" s="7" t="s">
        <v>33</v>
      </c>
      <c r="D12" s="7" t="str">
        <f aca="false">IF(OR($G12="",$G12="Not sure"),$C12,$G12)</f>
        <v>Person - normal account</v>
      </c>
      <c r="E12" s="6" t="s">
        <v>32</v>
      </c>
      <c r="F12" s="6" t="s">
        <v>14</v>
      </c>
      <c r="G12" s="11"/>
      <c r="H12" s="6" t="s">
        <v>73</v>
      </c>
    </row>
    <row r="13" customFormat="false" ht="15" hidden="false" customHeight="false" outlineLevel="0" collapsed="false">
      <c r="A13" s="4" t="s">
        <v>60</v>
      </c>
      <c r="B13" s="4" t="s">
        <v>68</v>
      </c>
      <c r="C13" s="5" t="s">
        <v>33</v>
      </c>
      <c r="D13" s="5" t="str">
        <f aca="false">IF(OR($G13="",$G13="Not sure"),$C13,$G13)</f>
        <v>Person - normal account</v>
      </c>
      <c r="E13" s="4" t="s">
        <v>32</v>
      </c>
      <c r="F13" s="4" t="s">
        <v>14</v>
      </c>
      <c r="G13" s="11"/>
      <c r="H13" s="4" t="s">
        <v>74</v>
      </c>
    </row>
    <row r="14" customFormat="false" ht="15" hidden="false" customHeight="false" outlineLevel="0" collapsed="false">
      <c r="A14" s="6" t="s">
        <v>75</v>
      </c>
      <c r="B14" s="6" t="s">
        <v>76</v>
      </c>
      <c r="C14" s="7" t="s">
        <v>33</v>
      </c>
      <c r="D14" s="7" t="str">
        <f aca="false">IF(OR($G14="",$G14="Not sure"),$C14,$G14)</f>
        <v>Person - normal account</v>
      </c>
      <c r="E14" s="6" t="s">
        <v>32</v>
      </c>
      <c r="F14" s="6" t="s">
        <v>14</v>
      </c>
      <c r="G14" s="11"/>
      <c r="H14" s="6" t="s">
        <v>77</v>
      </c>
    </row>
    <row r="15" customFormat="false" ht="15" hidden="false" customHeight="false" outlineLevel="0" collapsed="false">
      <c r="A15" s="4" t="s">
        <v>78</v>
      </c>
      <c r="B15" s="4" t="s">
        <v>76</v>
      </c>
      <c r="C15" s="5" t="s">
        <v>33</v>
      </c>
      <c r="D15" s="5" t="str">
        <f aca="false">IF(OR($G15="",$G15="Not sure"),$C15,$G15)</f>
        <v>Person - normal account</v>
      </c>
      <c r="E15" s="4" t="s">
        <v>32</v>
      </c>
      <c r="F15" s="4" t="s">
        <v>14</v>
      </c>
      <c r="G15" s="11"/>
      <c r="H15" s="4" t="s">
        <v>79</v>
      </c>
    </row>
    <row r="16" customFormat="false" ht="15" hidden="false" customHeight="false" outlineLevel="0" collapsed="false">
      <c r="A16" s="6" t="s">
        <v>80</v>
      </c>
      <c r="B16" s="6" t="s">
        <v>81</v>
      </c>
      <c r="C16" s="7" t="s">
        <v>33</v>
      </c>
      <c r="D16" s="7" t="str">
        <f aca="false">IF(OR($G16="",$G16="Not sure"),$C16,$G16)</f>
        <v>Person - normal account</v>
      </c>
      <c r="E16" s="6" t="s">
        <v>32</v>
      </c>
      <c r="F16" s="6" t="s">
        <v>14</v>
      </c>
      <c r="G16" s="11"/>
      <c r="H16" s="6" t="s">
        <v>82</v>
      </c>
    </row>
    <row r="17" customFormat="false" ht="15" hidden="false" customHeight="false" outlineLevel="0" collapsed="false">
      <c r="A17" s="4" t="s">
        <v>75</v>
      </c>
      <c r="B17" s="4" t="s">
        <v>81</v>
      </c>
      <c r="C17" s="5" t="s">
        <v>33</v>
      </c>
      <c r="D17" s="5" t="str">
        <f aca="false">IF(OR($G17="",$G17="Not sure"),$C17,$G17)</f>
        <v>Person - normal account</v>
      </c>
      <c r="E17" s="4" t="s">
        <v>32</v>
      </c>
      <c r="F17" s="4" t="s">
        <v>14</v>
      </c>
      <c r="G17" s="11"/>
      <c r="H17" s="4" t="s">
        <v>82</v>
      </c>
    </row>
    <row r="18" customFormat="false" ht="15" hidden="false" customHeight="false" outlineLevel="0" collapsed="false">
      <c r="A18" s="6" t="s">
        <v>60</v>
      </c>
      <c r="B18" s="6" t="s">
        <v>81</v>
      </c>
      <c r="C18" s="7" t="s">
        <v>33</v>
      </c>
      <c r="D18" s="7" t="str">
        <f aca="false">IF(OR($G18="",$G18="Not sure"),$C18,$G18)</f>
        <v>Person - normal account</v>
      </c>
      <c r="E18" s="6" t="s">
        <v>32</v>
      </c>
      <c r="F18" s="6" t="s">
        <v>14</v>
      </c>
      <c r="G18" s="11"/>
      <c r="H18" s="6" t="s">
        <v>83</v>
      </c>
    </row>
    <row r="19" customFormat="false" ht="15" hidden="false" customHeight="false" outlineLevel="0" collapsed="false">
      <c r="A19" s="4" t="s">
        <v>54</v>
      </c>
      <c r="B19" s="4" t="s">
        <v>84</v>
      </c>
      <c r="C19" s="5" t="s">
        <v>33</v>
      </c>
      <c r="D19" s="5" t="str">
        <f aca="false">IF(OR($G19="",$G19="Not sure"),$C19,$G19)</f>
        <v>Person - normal account</v>
      </c>
      <c r="E19" s="4" t="s">
        <v>32</v>
      </c>
      <c r="F19" s="4" t="s">
        <v>14</v>
      </c>
      <c r="G19" s="11"/>
      <c r="H19" s="4" t="s">
        <v>85</v>
      </c>
    </row>
    <row r="20" customFormat="false" ht="15" hidden="false" customHeight="false" outlineLevel="0" collapsed="false">
      <c r="A20" s="6" t="s">
        <v>86</v>
      </c>
      <c r="B20" s="6" t="s">
        <v>87</v>
      </c>
      <c r="C20" s="7" t="s">
        <v>33</v>
      </c>
      <c r="D20" s="7" t="str">
        <f aca="false">IF(OR($G20="",$G20="Not sure"),$C20,$G20)</f>
        <v>Person - normal account</v>
      </c>
      <c r="E20" s="6" t="s">
        <v>32</v>
      </c>
      <c r="F20" s="6" t="s">
        <v>14</v>
      </c>
      <c r="G20" s="11"/>
      <c r="H20" s="6" t="s">
        <v>88</v>
      </c>
    </row>
    <row r="21" customFormat="false" ht="15" hidden="false" customHeight="false" outlineLevel="0" collapsed="false">
      <c r="A21" s="4" t="s">
        <v>89</v>
      </c>
      <c r="B21" s="4" t="s">
        <v>90</v>
      </c>
      <c r="C21" s="5" t="s">
        <v>33</v>
      </c>
      <c r="D21" s="5" t="str">
        <f aca="false">IF(OR($G21="",$G21="Not sure"),$C21,$G21)</f>
        <v>Person - normal account</v>
      </c>
      <c r="E21" s="4" t="s">
        <v>32</v>
      </c>
      <c r="F21" s="4" t="s">
        <v>14</v>
      </c>
      <c r="G21" s="11"/>
      <c r="H21" s="4" t="s">
        <v>91</v>
      </c>
    </row>
    <row r="22" customFormat="false" ht="15" hidden="false" customHeight="false" outlineLevel="0" collapsed="false">
      <c r="A22" s="6" t="s">
        <v>57</v>
      </c>
      <c r="B22" s="6" t="s">
        <v>90</v>
      </c>
      <c r="C22" s="7" t="s">
        <v>33</v>
      </c>
      <c r="D22" s="7" t="str">
        <f aca="false">IF(OR($G22="",$G22="Not sure"),$C22,$G22)</f>
        <v>Person - normal account</v>
      </c>
      <c r="E22" s="6" t="s">
        <v>32</v>
      </c>
      <c r="F22" s="6" t="s">
        <v>14</v>
      </c>
      <c r="G22" s="11"/>
      <c r="H22" s="6" t="s">
        <v>92</v>
      </c>
    </row>
    <row r="23" customFormat="false" ht="15" hidden="false" customHeight="false" outlineLevel="0" collapsed="false">
      <c r="A23" s="4" t="s">
        <v>78</v>
      </c>
      <c r="B23" s="4" t="s">
        <v>93</v>
      </c>
      <c r="C23" s="5" t="s">
        <v>33</v>
      </c>
      <c r="D23" s="5" t="str">
        <f aca="false">IF(OR($G23="",$G23="Not sure"),$C23,$G23)</f>
        <v>Person - normal account</v>
      </c>
      <c r="E23" s="4" t="s">
        <v>32</v>
      </c>
      <c r="F23" s="4" t="s">
        <v>14</v>
      </c>
      <c r="G23" s="11"/>
      <c r="H23" s="4" t="s">
        <v>94</v>
      </c>
    </row>
    <row r="24" customFormat="false" ht="15" hidden="false" customHeight="false" outlineLevel="0" collapsed="false">
      <c r="A24" s="6" t="s">
        <v>72</v>
      </c>
      <c r="B24" s="6" t="s">
        <v>93</v>
      </c>
      <c r="C24" s="7" t="s">
        <v>33</v>
      </c>
      <c r="D24" s="7" t="str">
        <f aca="false">IF(OR($G24="",$G24="Not sure"),$C24,$G24)</f>
        <v>Person - normal account</v>
      </c>
      <c r="E24" s="6" t="s">
        <v>32</v>
      </c>
      <c r="F24" s="6" t="s">
        <v>14</v>
      </c>
      <c r="G24" s="11"/>
      <c r="H24" s="6" t="s">
        <v>95</v>
      </c>
    </row>
    <row r="25" customFormat="false" ht="15" hidden="false" customHeight="false" outlineLevel="0" collapsed="false">
      <c r="A25" s="4" t="s">
        <v>86</v>
      </c>
      <c r="B25" s="4" t="s">
        <v>96</v>
      </c>
      <c r="C25" s="5" t="s">
        <v>30</v>
      </c>
      <c r="D25" s="5" t="str">
        <f aca="false">IF(OR($G25="",$G25="Not sure"),$C25,$G25)</f>
        <v>Person - privileged account</v>
      </c>
      <c r="E25" s="4" t="s">
        <v>29</v>
      </c>
      <c r="F25" s="4" t="s">
        <v>14</v>
      </c>
      <c r="G25" s="11"/>
      <c r="H25" s="4" t="s">
        <v>97</v>
      </c>
    </row>
    <row r="26" customFormat="false" ht="15" hidden="false" customHeight="false" outlineLevel="0" collapsed="false">
      <c r="A26" s="6" t="s">
        <v>48</v>
      </c>
      <c r="B26" s="6" t="s">
        <v>98</v>
      </c>
      <c r="C26" s="7" t="s">
        <v>30</v>
      </c>
      <c r="D26" s="7" t="str">
        <f aca="false">IF(OR($G26="",$G26="Not sure"),$C26,$G26)</f>
        <v>Person - privileged account</v>
      </c>
      <c r="E26" s="6" t="s">
        <v>29</v>
      </c>
      <c r="F26" s="6" t="s">
        <v>14</v>
      </c>
      <c r="G26" s="11"/>
      <c r="H26" s="6" t="s">
        <v>99</v>
      </c>
    </row>
    <row r="27" customFormat="false" ht="15" hidden="false" customHeight="false" outlineLevel="0" collapsed="false">
      <c r="A27" s="4" t="s">
        <v>65</v>
      </c>
      <c r="B27" s="4" t="s">
        <v>100</v>
      </c>
      <c r="C27" s="5" t="s">
        <v>30</v>
      </c>
      <c r="D27" s="5" t="str">
        <f aca="false">IF(OR($G27="",$G27="Not sure"),$C27,$G27)</f>
        <v>Person - privileged account</v>
      </c>
      <c r="E27" s="4" t="s">
        <v>29</v>
      </c>
      <c r="F27" s="4" t="s">
        <v>14</v>
      </c>
      <c r="G27" s="11"/>
      <c r="H27" s="4" t="s">
        <v>101</v>
      </c>
    </row>
    <row r="28" customFormat="false" ht="15" hidden="false" customHeight="false" outlineLevel="0" collapsed="false">
      <c r="A28" s="6" t="s">
        <v>60</v>
      </c>
      <c r="B28" s="6" t="s">
        <v>102</v>
      </c>
      <c r="C28" s="7" t="s">
        <v>30</v>
      </c>
      <c r="D28" s="7" t="str">
        <f aca="false">IF(OR($G28="",$G28="Not sure"),$C28,$G28)</f>
        <v>Person - privileged account</v>
      </c>
      <c r="E28" s="6" t="s">
        <v>29</v>
      </c>
      <c r="F28" s="6" t="s">
        <v>14</v>
      </c>
      <c r="G28" s="11"/>
      <c r="H28" s="6" t="s">
        <v>103</v>
      </c>
    </row>
    <row r="29" customFormat="false" ht="15" hidden="false" customHeight="false" outlineLevel="0" collapsed="false">
      <c r="A29" s="4" t="s">
        <v>54</v>
      </c>
      <c r="B29" s="4" t="s">
        <v>104</v>
      </c>
      <c r="C29" s="5" t="s">
        <v>30</v>
      </c>
      <c r="D29" s="5" t="str">
        <f aca="false">IF(OR($G29="",$G29="Not sure"),$C29,$G29)</f>
        <v>Person - privileged account</v>
      </c>
      <c r="E29" s="4" t="s">
        <v>29</v>
      </c>
      <c r="F29" s="4" t="s">
        <v>14</v>
      </c>
      <c r="G29" s="11"/>
      <c r="H29" s="4" t="s">
        <v>105</v>
      </c>
    </row>
    <row r="30" customFormat="false" ht="15" hidden="false" customHeight="false" outlineLevel="0" collapsed="false">
      <c r="A30" s="6" t="s">
        <v>72</v>
      </c>
      <c r="B30" s="6" t="s">
        <v>104</v>
      </c>
      <c r="C30" s="7" t="s">
        <v>30</v>
      </c>
      <c r="D30" s="7" t="str">
        <f aca="false">IF(OR($G30="",$G30="Not sure"),$C30,$G30)</f>
        <v>Person - privileged account</v>
      </c>
      <c r="E30" s="6" t="s">
        <v>29</v>
      </c>
      <c r="F30" s="6" t="s">
        <v>14</v>
      </c>
      <c r="G30" s="11"/>
      <c r="H30" s="6" t="s">
        <v>106</v>
      </c>
    </row>
    <row r="31" customFormat="false" ht="15" hidden="false" customHeight="false" outlineLevel="0" collapsed="false">
      <c r="A31" s="4" t="s">
        <v>60</v>
      </c>
      <c r="B31" s="4" t="s">
        <v>104</v>
      </c>
      <c r="C31" s="5" t="s">
        <v>30</v>
      </c>
      <c r="D31" s="5" t="str">
        <f aca="false">IF(OR($G31="",$G31="Not sure"),$C31,$G31)</f>
        <v>Person - privileged account</v>
      </c>
      <c r="E31" s="4" t="s">
        <v>29</v>
      </c>
      <c r="F31" s="4" t="s">
        <v>14</v>
      </c>
      <c r="G31" s="11"/>
      <c r="H31" s="4" t="s">
        <v>107</v>
      </c>
    </row>
    <row r="32" customFormat="false" ht="15" hidden="false" customHeight="false" outlineLevel="0" collapsed="false">
      <c r="A32" s="6" t="s">
        <v>86</v>
      </c>
      <c r="B32" s="6" t="s">
        <v>108</v>
      </c>
      <c r="C32" s="7" t="s">
        <v>30</v>
      </c>
      <c r="D32" s="7" t="str">
        <f aca="false">IF(OR($G32="",$G32="Not sure"),$C32,$G32)</f>
        <v>Person - privileged account</v>
      </c>
      <c r="E32" s="6" t="s">
        <v>29</v>
      </c>
      <c r="F32" s="6" t="s">
        <v>14</v>
      </c>
      <c r="G32" s="11"/>
      <c r="H32" s="6" t="s">
        <v>109</v>
      </c>
    </row>
    <row r="33" customFormat="false" ht="15" hidden="false" customHeight="false" outlineLevel="0" collapsed="false">
      <c r="A33" s="4" t="s">
        <v>86</v>
      </c>
      <c r="B33" s="4" t="s">
        <v>110</v>
      </c>
      <c r="C33" s="5" t="s">
        <v>30</v>
      </c>
      <c r="D33" s="5" t="str">
        <f aca="false">IF(OR($G33="",$G33="Not sure"),$C33,$G33)</f>
        <v>Person - privileged account</v>
      </c>
      <c r="E33" s="4" t="s">
        <v>29</v>
      </c>
      <c r="F33" s="4" t="s">
        <v>14</v>
      </c>
      <c r="G33" s="11"/>
      <c r="H33" s="4" t="s">
        <v>111</v>
      </c>
    </row>
    <row r="34" customFormat="false" ht="15" hidden="false" customHeight="false" outlineLevel="0" collapsed="false">
      <c r="A34" s="6" t="s">
        <v>86</v>
      </c>
      <c r="B34" s="6" t="s">
        <v>112</v>
      </c>
      <c r="C34" s="7" t="s">
        <v>30</v>
      </c>
      <c r="D34" s="7" t="str">
        <f aca="false">IF(OR($G34="",$G34="Not sure"),$C34,$G34)</f>
        <v>Person - privileged account</v>
      </c>
      <c r="E34" s="6" t="s">
        <v>29</v>
      </c>
      <c r="F34" s="6" t="s">
        <v>14</v>
      </c>
      <c r="G34" s="11"/>
      <c r="H34" s="6" t="s">
        <v>113</v>
      </c>
    </row>
    <row r="35" customFormat="false" ht="15" hidden="false" customHeight="false" outlineLevel="0" collapsed="false">
      <c r="A35" s="4" t="s">
        <v>86</v>
      </c>
      <c r="B35" s="4" t="s">
        <v>114</v>
      </c>
      <c r="C35" s="5" t="s">
        <v>30</v>
      </c>
      <c r="D35" s="5" t="str">
        <f aca="false">IF(OR($G35="",$G35="Not sure"),$C35,$G35)</f>
        <v>Person - privileged account</v>
      </c>
      <c r="E35" s="4" t="s">
        <v>29</v>
      </c>
      <c r="F35" s="4" t="s">
        <v>14</v>
      </c>
      <c r="G35" s="11"/>
      <c r="H35" s="4" t="s">
        <v>115</v>
      </c>
    </row>
    <row r="36" customFormat="false" ht="15" hidden="false" customHeight="false" outlineLevel="0" collapsed="false">
      <c r="A36" s="6" t="s">
        <v>89</v>
      </c>
      <c r="B36" s="6" t="s">
        <v>116</v>
      </c>
      <c r="C36" s="7" t="s">
        <v>12</v>
      </c>
      <c r="D36" s="7" t="str">
        <f aca="false">IF(OR($G36="",$G36="Not sure"),$C36,$G36)</f>
        <v>Service / application</v>
      </c>
      <c r="E36" s="6" t="s">
        <v>22</v>
      </c>
      <c r="F36" s="6" t="s">
        <v>14</v>
      </c>
      <c r="G36" s="11"/>
      <c r="H36" s="6" t="s">
        <v>117</v>
      </c>
    </row>
    <row r="37" customFormat="false" ht="15" hidden="false" customHeight="false" outlineLevel="0" collapsed="false">
      <c r="A37" s="4" t="s">
        <v>80</v>
      </c>
      <c r="B37" s="4" t="s">
        <v>118</v>
      </c>
      <c r="C37" s="5" t="s">
        <v>12</v>
      </c>
      <c r="D37" s="5" t="str">
        <f aca="false">IF(OR($G37="",$G37="Not sure"),$C37,$G37)</f>
        <v>Service / application</v>
      </c>
      <c r="E37" s="4" t="s">
        <v>21</v>
      </c>
      <c r="F37" s="4" t="s">
        <v>9</v>
      </c>
      <c r="G37" s="11"/>
      <c r="H37" s="4" t="s">
        <v>119</v>
      </c>
    </row>
    <row r="38" customFormat="false" ht="15" hidden="false" customHeight="false" outlineLevel="0" collapsed="false">
      <c r="A38" s="6" t="s">
        <v>75</v>
      </c>
      <c r="B38" s="6" t="s">
        <v>118</v>
      </c>
      <c r="C38" s="7" t="s">
        <v>12</v>
      </c>
      <c r="D38" s="7" t="str">
        <f aca="false">IF(OR($G38="",$G38="Not sure"),$C38,$G38)</f>
        <v>Service / application</v>
      </c>
      <c r="E38" s="6" t="s">
        <v>21</v>
      </c>
      <c r="F38" s="6" t="s">
        <v>9</v>
      </c>
      <c r="G38" s="11"/>
      <c r="H38" s="6" t="s">
        <v>120</v>
      </c>
    </row>
    <row r="39" customFormat="false" ht="15" hidden="false" customHeight="false" outlineLevel="0" collapsed="false">
      <c r="A39" s="4" t="s">
        <v>57</v>
      </c>
      <c r="B39" s="4" t="s">
        <v>121</v>
      </c>
      <c r="C39" s="5" t="s">
        <v>12</v>
      </c>
      <c r="D39" s="5" t="str">
        <f aca="false">IF(OR($G39="",$G39="Not sure"),$C39,$G39)</f>
        <v>Service / application</v>
      </c>
      <c r="E39" s="4" t="s">
        <v>18</v>
      </c>
      <c r="F39" s="4" t="s">
        <v>19</v>
      </c>
      <c r="G39" s="11"/>
      <c r="H39" s="4" t="s">
        <v>122</v>
      </c>
    </row>
    <row r="40" customFormat="false" ht="15" hidden="false" customHeight="false" outlineLevel="0" collapsed="false">
      <c r="A40" s="6" t="s">
        <v>123</v>
      </c>
      <c r="B40" s="6" t="s">
        <v>124</v>
      </c>
      <c r="C40" s="7" t="s">
        <v>12</v>
      </c>
      <c r="D40" s="7" t="str">
        <f aca="false">IF(OR($G40="",$G40="Not sure"),$C40,$G40)</f>
        <v>Service / application</v>
      </c>
      <c r="E40" s="6" t="s">
        <v>24</v>
      </c>
      <c r="F40" s="6" t="s">
        <v>9</v>
      </c>
      <c r="G40" s="11"/>
      <c r="H40" s="6" t="s">
        <v>125</v>
      </c>
    </row>
    <row r="41" customFormat="false" ht="15" hidden="false" customHeight="false" outlineLevel="0" collapsed="false">
      <c r="A41" s="4" t="s">
        <v>57</v>
      </c>
      <c r="B41" s="4" t="s">
        <v>126</v>
      </c>
      <c r="C41" s="5" t="s">
        <v>12</v>
      </c>
      <c r="D41" s="5" t="str">
        <f aca="false">IF(OR($G41="",$G41="Not sure"),$C41,$G41)</f>
        <v>Service / application</v>
      </c>
      <c r="E41" s="4" t="s">
        <v>18</v>
      </c>
      <c r="F41" s="4" t="s">
        <v>19</v>
      </c>
      <c r="G41" s="11"/>
      <c r="H41" s="4" t="s">
        <v>127</v>
      </c>
    </row>
    <row r="42" customFormat="false" ht="15" hidden="false" customHeight="false" outlineLevel="0" collapsed="false">
      <c r="A42" s="6" t="s">
        <v>57</v>
      </c>
      <c r="B42" s="6" t="s">
        <v>128</v>
      </c>
      <c r="C42" s="7" t="s">
        <v>12</v>
      </c>
      <c r="D42" s="7" t="str">
        <f aca="false">IF(OR($G42="",$G42="Not sure"),$C42,$G42)</f>
        <v>Service / application</v>
      </c>
      <c r="E42" s="6" t="s">
        <v>18</v>
      </c>
      <c r="F42" s="6" t="s">
        <v>19</v>
      </c>
      <c r="G42" s="11"/>
      <c r="H42" s="6" t="s">
        <v>127</v>
      </c>
    </row>
    <row r="43" customFormat="false" ht="15" hidden="false" customHeight="false" outlineLevel="0" collapsed="false">
      <c r="A43" s="4" t="s">
        <v>51</v>
      </c>
      <c r="B43" s="4" t="s">
        <v>129</v>
      </c>
      <c r="C43" s="5" t="s">
        <v>12</v>
      </c>
      <c r="D43" s="5" t="str">
        <f aca="false">IF(OR($G43="",$G43="Not sure"),$C43,$G43)</f>
        <v>Service / application</v>
      </c>
      <c r="E43" s="4" t="s">
        <v>13</v>
      </c>
      <c r="F43" s="4" t="s">
        <v>14</v>
      </c>
      <c r="G43" s="11"/>
      <c r="H43" s="4" t="s">
        <v>130</v>
      </c>
    </row>
    <row r="44" customFormat="false" ht="15" hidden="false" customHeight="false" outlineLevel="0" collapsed="false">
      <c r="A44" s="6" t="s">
        <v>60</v>
      </c>
      <c r="B44" s="6" t="s">
        <v>131</v>
      </c>
      <c r="C44" s="7" t="s">
        <v>12</v>
      </c>
      <c r="D44" s="7" t="str">
        <f aca="false">IF(OR($G44="",$G44="Not sure"),$C44,$G44)</f>
        <v>Service / application</v>
      </c>
      <c r="E44" s="6" t="s">
        <v>13</v>
      </c>
      <c r="F44" s="6" t="s">
        <v>14</v>
      </c>
      <c r="G44" s="11"/>
      <c r="H44" s="6" t="s">
        <v>132</v>
      </c>
    </row>
    <row r="45" customFormat="false" ht="15" hidden="false" customHeight="false" outlineLevel="0" collapsed="false">
      <c r="A45" s="4" t="s">
        <v>57</v>
      </c>
      <c r="B45" s="4" t="s">
        <v>133</v>
      </c>
      <c r="C45" s="5" t="s">
        <v>12</v>
      </c>
      <c r="D45" s="5" t="str">
        <f aca="false">IF(OR($G45="",$G45="Not sure"),$C45,$G45)</f>
        <v>Service / application</v>
      </c>
      <c r="E45" s="4" t="s">
        <v>13</v>
      </c>
      <c r="F45" s="4" t="s">
        <v>14</v>
      </c>
      <c r="G45" s="11"/>
      <c r="H45" s="4" t="s">
        <v>134</v>
      </c>
    </row>
    <row r="46" customFormat="false" ht="15" hidden="false" customHeight="false" outlineLevel="0" collapsed="false">
      <c r="A46" s="6" t="s">
        <v>78</v>
      </c>
      <c r="B46" s="6" t="s">
        <v>135</v>
      </c>
      <c r="C46" s="7" t="s">
        <v>12</v>
      </c>
      <c r="D46" s="7" t="str">
        <f aca="false">IF(OR($G46="",$G46="Not sure"),$C46,$G46)</f>
        <v>Service / application</v>
      </c>
      <c r="E46" s="6" t="s">
        <v>11</v>
      </c>
      <c r="F46" s="6" t="s">
        <v>9</v>
      </c>
      <c r="G46" s="11"/>
      <c r="H46" s="6" t="s">
        <v>136</v>
      </c>
    </row>
    <row r="47" customFormat="false" ht="15" hidden="false" customHeight="false" outlineLevel="0" collapsed="false">
      <c r="A47" s="4" t="s">
        <v>70</v>
      </c>
      <c r="B47" s="4" t="s">
        <v>137</v>
      </c>
      <c r="C47" s="5" t="s">
        <v>12</v>
      </c>
      <c r="D47" s="5" t="str">
        <f aca="false">IF(OR($G47="",$G47="Not sure"),$C47,$G47)</f>
        <v>Service / application</v>
      </c>
      <c r="E47" s="4" t="s">
        <v>11</v>
      </c>
      <c r="F47" s="4" t="s">
        <v>9</v>
      </c>
      <c r="G47" s="11"/>
      <c r="H47" s="4" t="s">
        <v>138</v>
      </c>
    </row>
    <row r="48" customFormat="false" ht="15" hidden="false" customHeight="false" outlineLevel="0" collapsed="false">
      <c r="A48" s="6" t="s">
        <v>51</v>
      </c>
      <c r="B48" s="6" t="s">
        <v>139</v>
      </c>
      <c r="C48" s="7" t="s">
        <v>12</v>
      </c>
      <c r="D48" s="7" t="str">
        <f aca="false">IF(OR($G48="",$G48="Not sure"),$C48,$G48)</f>
        <v>Service / application</v>
      </c>
      <c r="E48" s="6" t="s">
        <v>11</v>
      </c>
      <c r="F48" s="6" t="s">
        <v>9</v>
      </c>
      <c r="G48" s="11"/>
      <c r="H48" s="6" t="s">
        <v>140</v>
      </c>
    </row>
    <row r="49" customFormat="false" ht="15" hidden="false" customHeight="false" outlineLevel="0" collapsed="false">
      <c r="A49" s="4" t="s">
        <v>54</v>
      </c>
      <c r="B49" s="4" t="s">
        <v>139</v>
      </c>
      <c r="C49" s="5" t="s">
        <v>12</v>
      </c>
      <c r="D49" s="5" t="str">
        <f aca="false">IF(OR($G49="",$G49="Not sure"),$C49,$G49)</f>
        <v>Service / application</v>
      </c>
      <c r="E49" s="4" t="s">
        <v>11</v>
      </c>
      <c r="F49" s="4" t="s">
        <v>9</v>
      </c>
      <c r="G49" s="11"/>
      <c r="H49" s="4" t="s">
        <v>140</v>
      </c>
    </row>
    <row r="50" customFormat="false" ht="15" hidden="false" customHeight="false" outlineLevel="0" collapsed="false">
      <c r="A50" s="6" t="s">
        <v>89</v>
      </c>
      <c r="B50" s="6" t="s">
        <v>139</v>
      </c>
      <c r="C50" s="7" t="s">
        <v>12</v>
      </c>
      <c r="D50" s="7" t="str">
        <f aca="false">IF(OR($G50="",$G50="Not sure"),$C50,$G50)</f>
        <v>Service / application</v>
      </c>
      <c r="E50" s="6" t="s">
        <v>11</v>
      </c>
      <c r="F50" s="6" t="s">
        <v>9</v>
      </c>
      <c r="G50" s="11"/>
      <c r="H50" s="6" t="s">
        <v>141</v>
      </c>
    </row>
    <row r="51" customFormat="false" ht="15" hidden="false" customHeight="false" outlineLevel="0" collapsed="false">
      <c r="A51" s="4" t="s">
        <v>142</v>
      </c>
      <c r="B51" s="4" t="s">
        <v>143</v>
      </c>
      <c r="C51" s="5" t="s">
        <v>12</v>
      </c>
      <c r="D51" s="5" t="str">
        <f aca="false">IF(OR($G51="",$G51="Not sure"),$C51,$G51)</f>
        <v>Service / application</v>
      </c>
      <c r="E51" s="4" t="s">
        <v>11</v>
      </c>
      <c r="F51" s="4" t="s">
        <v>9</v>
      </c>
      <c r="G51" s="11"/>
      <c r="H51" s="4" t="s">
        <v>144</v>
      </c>
    </row>
    <row r="52" customFormat="false" ht="15" hidden="false" customHeight="false" outlineLevel="0" collapsed="false">
      <c r="A52" s="6" t="s">
        <v>51</v>
      </c>
      <c r="B52" s="6" t="s">
        <v>145</v>
      </c>
      <c r="C52" s="7" t="s">
        <v>12</v>
      </c>
      <c r="D52" s="7" t="str">
        <f aca="false">IF(OR($G52="",$G52="Not sure"),$C52,$G52)</f>
        <v>Service / application</v>
      </c>
      <c r="E52" s="6" t="s">
        <v>11</v>
      </c>
      <c r="F52" s="6" t="s">
        <v>9</v>
      </c>
      <c r="G52" s="11"/>
      <c r="H52" s="6" t="s">
        <v>146</v>
      </c>
    </row>
    <row r="53" customFormat="false" ht="15" hidden="false" customHeight="false" outlineLevel="0" collapsed="false">
      <c r="A53" s="4" t="s">
        <v>54</v>
      </c>
      <c r="B53" s="4" t="s">
        <v>145</v>
      </c>
      <c r="C53" s="5" t="s">
        <v>12</v>
      </c>
      <c r="D53" s="5" t="str">
        <f aca="false">IF(OR($G53="",$G53="Not sure"),$C53,$G53)</f>
        <v>Service / application</v>
      </c>
      <c r="E53" s="4" t="s">
        <v>11</v>
      </c>
      <c r="F53" s="4" t="s">
        <v>9</v>
      </c>
      <c r="G53" s="11"/>
      <c r="H53" s="4" t="s">
        <v>147</v>
      </c>
    </row>
    <row r="54" customFormat="false" ht="15" hidden="false" customHeight="false" outlineLevel="0" collapsed="false">
      <c r="A54" s="6" t="s">
        <v>89</v>
      </c>
      <c r="B54" s="6" t="s">
        <v>145</v>
      </c>
      <c r="C54" s="7" t="s">
        <v>12</v>
      </c>
      <c r="D54" s="7" t="str">
        <f aca="false">IF(OR($G54="",$G54="Not sure"),$C54,$G54)</f>
        <v>Service / application</v>
      </c>
      <c r="E54" s="6" t="s">
        <v>11</v>
      </c>
      <c r="F54" s="6" t="s">
        <v>9</v>
      </c>
      <c r="G54" s="11"/>
      <c r="H54" s="6" t="s">
        <v>148</v>
      </c>
    </row>
    <row r="55" customFormat="false" ht="15" hidden="false" customHeight="false" outlineLevel="0" collapsed="false">
      <c r="A55" s="4" t="s">
        <v>149</v>
      </c>
      <c r="B55" s="4" t="s">
        <v>150</v>
      </c>
      <c r="C55" s="5" t="s">
        <v>12</v>
      </c>
      <c r="D55" s="5" t="str">
        <f aca="false">IF(OR($G55="",$G55="Not sure"),$C55,$G55)</f>
        <v>Service / application</v>
      </c>
      <c r="E55" s="4" t="s">
        <v>11</v>
      </c>
      <c r="F55" s="4" t="s">
        <v>9</v>
      </c>
      <c r="G55" s="11"/>
      <c r="H55" s="4" t="s">
        <v>151</v>
      </c>
    </row>
    <row r="56" customFormat="false" ht="15" hidden="false" customHeight="false" outlineLevel="0" collapsed="false">
      <c r="A56" s="6" t="s">
        <v>65</v>
      </c>
      <c r="B56" s="6" t="s">
        <v>152</v>
      </c>
      <c r="C56" s="7" t="s">
        <v>12</v>
      </c>
      <c r="D56" s="7" t="str">
        <f aca="false">IF(OR($G56="",$G56="Not sure"),$C56,$G56)</f>
        <v>Service / application</v>
      </c>
      <c r="E56" s="6" t="s">
        <v>11</v>
      </c>
      <c r="F56" s="6" t="s">
        <v>9</v>
      </c>
      <c r="G56" s="11"/>
      <c r="H56" s="6" t="s">
        <v>153</v>
      </c>
    </row>
    <row r="57" customFormat="false" ht="15" hidden="false" customHeight="false" outlineLevel="0" collapsed="false">
      <c r="A57" s="4" t="s">
        <v>51</v>
      </c>
      <c r="B57" s="4" t="s">
        <v>154</v>
      </c>
      <c r="C57" s="5" t="s">
        <v>12</v>
      </c>
      <c r="D57" s="5" t="str">
        <f aca="false">IF(OR($G57="",$G57="Not sure"),$C57,$G57)</f>
        <v>Service / application</v>
      </c>
      <c r="E57" s="4" t="s">
        <v>16</v>
      </c>
      <c r="F57" s="4" t="s">
        <v>14</v>
      </c>
      <c r="G57" s="11"/>
      <c r="H57" s="4" t="s">
        <v>155</v>
      </c>
    </row>
    <row r="58" customFormat="false" ht="15" hidden="false" customHeight="false" outlineLevel="0" collapsed="false">
      <c r="A58" s="6" t="s">
        <v>54</v>
      </c>
      <c r="B58" s="6" t="s">
        <v>154</v>
      </c>
      <c r="C58" s="7" t="s">
        <v>12</v>
      </c>
      <c r="D58" s="7" t="str">
        <f aca="false">IF(OR($G58="",$G58="Not sure"),$C58,$G58)</f>
        <v>Service / application</v>
      </c>
      <c r="E58" s="6" t="s">
        <v>16</v>
      </c>
      <c r="F58" s="6" t="s">
        <v>14</v>
      </c>
      <c r="G58" s="11"/>
      <c r="H58" s="6" t="s">
        <v>156</v>
      </c>
    </row>
    <row r="59" customFormat="false" ht="15" hidden="false" customHeight="false" outlineLevel="0" collapsed="false">
      <c r="A59" s="4" t="s">
        <v>123</v>
      </c>
      <c r="B59" s="4" t="s">
        <v>157</v>
      </c>
      <c r="C59" s="5" t="s">
        <v>12</v>
      </c>
      <c r="D59" s="5" t="str">
        <f aca="false">IF(OR($G59="",$G59="Not sure"),$C59,$G59)</f>
        <v>Service / application</v>
      </c>
      <c r="E59" s="4" t="s">
        <v>25</v>
      </c>
      <c r="F59" s="4" t="s">
        <v>9</v>
      </c>
      <c r="G59" s="11"/>
      <c r="H59" s="4" t="s">
        <v>158</v>
      </c>
    </row>
    <row r="60" customFormat="false" ht="15" hidden="false" customHeight="false" outlineLevel="0" collapsed="false">
      <c r="A60" s="6" t="s">
        <v>123</v>
      </c>
      <c r="B60" s="6" t="s">
        <v>159</v>
      </c>
      <c r="C60" s="7" t="s">
        <v>12</v>
      </c>
      <c r="D60" s="7" t="str">
        <f aca="false">IF(OR($G60="",$G60="Not sure"),$C60,$G60)</f>
        <v>Service / application</v>
      </c>
      <c r="E60" s="6" t="s">
        <v>24</v>
      </c>
      <c r="F60" s="6" t="s">
        <v>9</v>
      </c>
      <c r="G60" s="11"/>
      <c r="H60" s="6" t="s">
        <v>160</v>
      </c>
    </row>
    <row r="61" customFormat="false" ht="15" hidden="false" customHeight="false" outlineLevel="0" collapsed="false">
      <c r="A61" s="4" t="s">
        <v>86</v>
      </c>
      <c r="B61" s="4" t="s">
        <v>161</v>
      </c>
      <c r="C61" s="5" t="s">
        <v>12</v>
      </c>
      <c r="D61" s="5" t="str">
        <f aca="false">IF(OR($G61="",$G61="Not sure"),$C61,$G61)</f>
        <v>Service / application</v>
      </c>
      <c r="E61" s="4" t="s">
        <v>26</v>
      </c>
      <c r="F61" s="4" t="s">
        <v>19</v>
      </c>
      <c r="G61" s="11"/>
      <c r="H61" s="4" t="s">
        <v>162</v>
      </c>
    </row>
    <row r="62" customFormat="false" ht="15" hidden="false" customHeight="false" outlineLevel="0" collapsed="false">
      <c r="A62" s="6" t="s">
        <v>86</v>
      </c>
      <c r="B62" s="6" t="s">
        <v>163</v>
      </c>
      <c r="C62" s="7" t="s">
        <v>12</v>
      </c>
      <c r="D62" s="7" t="str">
        <f aca="false">IF(OR($G62="",$G62="Not sure"),$C62,$G62)</f>
        <v>Service / application</v>
      </c>
      <c r="E62" s="6" t="s">
        <v>26</v>
      </c>
      <c r="F62" s="6" t="s">
        <v>19</v>
      </c>
      <c r="G62" s="11"/>
      <c r="H62" s="6" t="s">
        <v>164</v>
      </c>
    </row>
    <row r="63" customFormat="false" ht="15" hidden="false" customHeight="false" outlineLevel="0" collapsed="false">
      <c r="A63" s="4" t="s">
        <v>51</v>
      </c>
      <c r="B63" s="4" t="s">
        <v>165</v>
      </c>
      <c r="C63" s="5" t="s">
        <v>12</v>
      </c>
      <c r="D63" s="5" t="str">
        <f aca="false">IF(OR($G63="",$G63="Not sure"),$C63,$G63)</f>
        <v>Service / application</v>
      </c>
      <c r="E63" s="4" t="s">
        <v>11</v>
      </c>
      <c r="F63" s="4" t="s">
        <v>9</v>
      </c>
      <c r="G63" s="11"/>
      <c r="H63" s="4" t="s">
        <v>166</v>
      </c>
    </row>
    <row r="64" customFormat="false" ht="15" hidden="false" customHeight="false" outlineLevel="0" collapsed="false">
      <c r="A64" s="6" t="s">
        <v>54</v>
      </c>
      <c r="B64" s="6" t="s">
        <v>165</v>
      </c>
      <c r="C64" s="7" t="s">
        <v>12</v>
      </c>
      <c r="D64" s="7" t="str">
        <f aca="false">IF(OR($G64="",$G64="Not sure"),$C64,$G64)</f>
        <v>Service / application</v>
      </c>
      <c r="E64" s="6" t="s">
        <v>11</v>
      </c>
      <c r="F64" s="6" t="s">
        <v>9</v>
      </c>
      <c r="G64" s="11"/>
      <c r="H64" s="6" t="s">
        <v>167</v>
      </c>
    </row>
    <row r="65" customFormat="false" ht="15" hidden="false" customHeight="false" outlineLevel="0" collapsed="false">
      <c r="A65" s="4" t="s">
        <v>89</v>
      </c>
      <c r="B65" s="4" t="s">
        <v>165</v>
      </c>
      <c r="C65" s="5" t="s">
        <v>12</v>
      </c>
      <c r="D65" s="5" t="str">
        <f aca="false">IF(OR($G65="",$G65="Not sure"),$C65,$G65)</f>
        <v>Service / application</v>
      </c>
      <c r="E65" s="4" t="s">
        <v>11</v>
      </c>
      <c r="F65" s="4" t="s">
        <v>9</v>
      </c>
      <c r="G65" s="11"/>
      <c r="H65" s="4" t="s">
        <v>168</v>
      </c>
    </row>
    <row r="67" customFormat="false" ht="15" hidden="false" customHeight="false" outlineLevel="0" collapsed="false">
      <c r="A67" s="12" t="s">
        <v>169</v>
      </c>
      <c r="B67" s="12"/>
      <c r="C67" s="12"/>
      <c r="D67" s="12"/>
      <c r="E67" s="12"/>
      <c r="F67" s="12"/>
      <c r="G67" s="12"/>
      <c r="H67" s="12"/>
    </row>
  </sheetData>
  <autoFilter ref="A1:H65"/>
  <mergeCells count="1">
    <mergeCell ref="A67:H67"/>
  </mergeCells>
  <dataValidations count="1">
    <dataValidation allowBlank="true" errorStyle="stop" operator="between" showDropDown="false" showErrorMessage="false" showInputMessage="false" sqref="G2:G65" type="list">
      <formula1>"Service / application,Person - normal account,Person - privileged account,Local machine account,Not 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2026-09-22T14:17:40Z</dcterms:created>
  <dc:creator>openpyxl</dc:creator>
  <dc:description/>
  <dc:language>en-US</dc:language>
  <cp:lastModifiedBy/>
  <dcterms:modified xsi:type="dcterms:W3CDTF">2026-09-22T14:17:40Z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